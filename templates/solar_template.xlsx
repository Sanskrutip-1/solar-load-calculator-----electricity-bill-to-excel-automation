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anay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cheme val="minor"/>
    </font>
    <font>
      <name val="Calibri"/>
      <color theme="1"/>
      <sz val="9"/>
    </font>
    <font>
      <name val="Arial"/>
      <color theme="1"/>
      <scheme val="minor"/>
    </font>
    <font>
      <name val="Calibri"/>
      <color rgb="FF000000"/>
      <sz val="9"/>
      <u val="single"/>
    </font>
    <font>
      <name val="Calibri"/>
      <color rgb="FF00000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3" borderId="2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2" fillId="5" borderId="3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 vertical="bottom"/>
    </xf>
    <xf numFmtId="0" fontId="9" fillId="2" borderId="1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bottom"/>
    </xf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 vertical="bottom"/>
    </xf>
    <xf numFmtId="4" fontId="9" fillId="2" borderId="1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/>
    </xf>
    <xf numFmtId="0" fontId="2" fillId="0" borderId="2" applyAlignment="1" pivotButton="0" quotePrefix="0" xfId="0">
      <alignment vertical="bottom"/>
    </xf>
    <xf numFmtId="0" fontId="9" fillId="2" borderId="1" pivotButton="0" quotePrefix="0" xfId="0"/>
    <xf numFmtId="0" fontId="9" fillId="2" borderId="0" applyAlignment="1" pivotButton="0" quotePrefix="0" xfId="0">
      <alignment horizontal="right" vertical="bottom"/>
    </xf>
    <xf numFmtId="4" fontId="9" fillId="2" borderId="0" applyAlignment="1" pivotButton="0" quotePrefix="0" xfId="0">
      <alignment horizontal="right" vertical="bottom"/>
    </xf>
    <xf numFmtId="0" fontId="2" fillId="0" borderId="2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4" fontId="10" fillId="0" borderId="2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10" fillId="3" borderId="4" applyAlignment="1" pivotButton="0" quotePrefix="0" xfId="0">
      <alignment vertical="bottom"/>
    </xf>
    <xf numFmtId="0" fontId="2" fillId="4" borderId="4" applyAlignment="1" pivotButton="0" quotePrefix="0" xfId="0">
      <alignment horizontal="right" vertical="bottom"/>
    </xf>
    <xf numFmtId="0" fontId="2" fillId="2" borderId="4" applyAlignment="1" pivotButton="0" quotePrefix="0" xfId="0">
      <alignment horizontal="right" vertical="bottom"/>
    </xf>
    <xf numFmtId="0" fontId="2" fillId="2" borderId="2" applyAlignment="1" pivotButton="0" quotePrefix="0" xfId="0">
      <alignment horizontal="right" vertical="bottom"/>
    </xf>
    <xf numFmtId="0" fontId="2" fillId="6" borderId="4" applyAlignment="1" pivotButton="0" quotePrefix="0" xfId="0">
      <alignment horizontal="right" vertical="bottom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62" min="3" max="3"/>
    <col width="20.75" customWidth="1" style="62" min="4" max="4"/>
    <col width="8.380000000000001" customWidth="1" style="62" min="5" max="5"/>
    <col width="11.25" customWidth="1" style="62" min="6" max="6"/>
    <col width="13.38" customWidth="1" style="62" min="7" max="7"/>
    <col width="16.63" customWidth="1" style="62" min="8" max="8"/>
    <col width="11.63" customWidth="1" style="62" min="9" max="9"/>
    <col width="10.63" customWidth="1" style="62" min="10" max="11"/>
    <col width="11.88" customWidth="1" style="62" min="12" max="12"/>
    <col width="10.63" customWidth="1" style="62" min="13" max="14"/>
    <col width="12.88" customWidth="1" style="62" min="15" max="15"/>
    <col width="10.63" customWidth="1" style="62" min="16" max="17"/>
    <col width="12.13" customWidth="1" style="62" min="18" max="18"/>
    <col width="10.63" customWidth="1" style="62" min="19" max="20"/>
    <col width="11.38" customWidth="1" style="62" min="21" max="21"/>
    <col width="10.63" customWidth="1" style="62" min="22" max="29"/>
  </cols>
  <sheetData>
    <row r="1">
      <c r="A1" s="1" t="n"/>
      <c r="B1" s="2" t="inlineStr">
        <is>
          <t>Consumer Name</t>
        </is>
      </c>
      <c r="D1" s="3" t="inlineStr">
        <is>
          <t>Shri Madhusham Khobragade</t>
        </is>
      </c>
      <c r="E1" s="10" t="n"/>
      <c r="F1" s="10" t="n"/>
      <c r="H1" s="3" t="inlineStr">
        <is>
          <t>Ranjana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inlineStr">
        <is>
          <t>Fallback User</t>
        </is>
      </c>
      <c r="D2" s="8" t="n">
        <v>439320095567</v>
      </c>
      <c r="E2" s="9" t="n"/>
      <c r="F2" s="10" t="n"/>
      <c r="H2" s="8" t="n">
        <v>439322232375</v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n">
        <v>250</v>
      </c>
      <c r="D3" s="12" t="n">
        <v>130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inlineStr">
        <is>
          <t>Jan</t>
        </is>
      </c>
      <c r="D4" s="12" t="inlineStr">
        <is>
          <t>3.30KW</t>
        </is>
      </c>
      <c r="E4" s="9" t="n"/>
      <c r="F4" s="10" t="n"/>
      <c r="H4" s="12" t="inlineStr">
        <is>
          <t>1KW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n">
        <v>1500</v>
      </c>
      <c r="D5" s="14" t="inlineStr">
        <is>
          <t>90/ LT I Res 1-Phase</t>
        </is>
      </c>
      <c r="E5" s="17" t="n"/>
      <c r="F5" s="10" t="n"/>
      <c r="H5" s="15" t="inlineStr">
        <is>
          <t>90/LT I Res 1- 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Residential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n">
        <v>2</v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99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0" t="n"/>
      <c r="N9" s="31" t="n"/>
      <c r="O9" s="6" t="n"/>
      <c r="P9" s="30" t="n"/>
      <c r="Q9" s="31" t="n"/>
      <c r="R9" s="6" t="n"/>
      <c r="S9" s="30" t="n"/>
      <c r="T9" s="31" t="n"/>
      <c r="U9" s="6" t="n"/>
      <c r="V9" s="30" t="n"/>
      <c r="W9" s="31" t="n"/>
      <c r="X9" s="6" t="n"/>
      <c r="Y9" s="30" t="n"/>
      <c r="Z9" s="31" t="n"/>
      <c r="AA9" s="6" t="n"/>
      <c r="AB9" s="30" t="n"/>
      <c r="AC9" s="31" t="n"/>
    </row>
    <row r="10">
      <c r="A10" s="17" t="n"/>
      <c r="B10" s="24" t="n">
        <v>3</v>
      </c>
      <c r="C10" s="25" t="n">
        <v>45717</v>
      </c>
      <c r="D10" s="26" t="n">
        <v>151</v>
      </c>
      <c r="E10" s="27" t="n"/>
      <c r="F10" s="37" t="n"/>
      <c r="G10" s="25" t="n">
        <v>45717</v>
      </c>
      <c r="H10" s="26" t="n">
        <v>27</v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n">
        <v>320.45</v>
      </c>
      <c r="F20" s="37">
        <f>(E20-$D$3)/D20</f>
        <v/>
      </c>
      <c r="G20" s="25" t="n">
        <v>46023</v>
      </c>
      <c r="H20" s="26" t="n">
        <v>137</v>
      </c>
      <c r="I20" s="34" t="n">
        <v>3335.34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>
        <f>AVERAGE(E14:E21)</f>
        <v/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2026-05-01T12:27:06Z</dcterms:created>
  <dcterms:modified xsi:type="dcterms:W3CDTF">2026-05-01T12:27:07Z</dcterms:modified>
</cp:coreProperties>
</file>